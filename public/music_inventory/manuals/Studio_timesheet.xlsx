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2F76D629-21CA-4318-B60E-0A236CC9752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ssie Time" sheetId="1" r:id="rId1"/>
    <sheet name="Estimate sheet" sheetId="4" r:id="rId2"/>
    <sheet name="Timesheet (2)" sheetId="2" r:id="rId3"/>
    <sheet name="Cost sheet" sheetId="3" r:id="rId4"/>
  </sheets>
  <definedNames>
    <definedName name="RegularHours" localSheetId="1">'Estimate sheet'!$G$7</definedName>
    <definedName name="RegularHours" localSheetId="2">'Timesheet (2)'!$G$7</definedName>
    <definedName name="RegularHours">'Ossie Time'!$H$7</definedName>
    <definedName name="TotalHoursWorked" localSheetId="1">'Estimate sheet'!$G$5</definedName>
    <definedName name="TotalHoursWorked" localSheetId="2">'Timesheet (2)'!$G$5</definedName>
    <definedName name="TotalHoursWorked">'Ossie Time'!$H$5</definedName>
    <definedName name="WorkWeekHours" localSheetId="1">'Estimate sheet'!$G$3</definedName>
    <definedName name="WorkWeekHours" localSheetId="2">'Timesheet (2)'!$G$3</definedName>
    <definedName name="WorkWeekHours">'Ossie Time'!$H$3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3" l="1"/>
  <c r="J9" i="3"/>
  <c r="I8" i="3"/>
  <c r="J8" i="3" s="1"/>
  <c r="I9" i="3"/>
  <c r="I11" i="3"/>
  <c r="J11" i="3" s="1"/>
  <c r="I12" i="3"/>
  <c r="J12" i="3" s="1"/>
  <c r="G18" i="4"/>
  <c r="G17" i="4"/>
  <c r="G16" i="4"/>
  <c r="G15" i="4"/>
  <c r="G14" i="4"/>
  <c r="G13" i="4"/>
  <c r="G12" i="4"/>
  <c r="G9" i="3"/>
  <c r="G8" i="3"/>
  <c r="G5" i="4" l="1"/>
  <c r="G7" i="4" s="1"/>
  <c r="G9" i="4" s="1"/>
  <c r="G18" i="2"/>
  <c r="G17" i="2"/>
  <c r="G16" i="2"/>
  <c r="G15" i="2"/>
  <c r="G14" i="2"/>
  <c r="G5" i="2" s="1"/>
  <c r="G13" i="2"/>
  <c r="G12" i="2"/>
  <c r="H18" i="1"/>
  <c r="H17" i="1"/>
  <c r="H15" i="1"/>
  <c r="H14" i="1"/>
  <c r="H13" i="1"/>
  <c r="H12" i="1"/>
  <c r="H16" i="1"/>
  <c r="G7" i="2" l="1"/>
  <c r="G9" i="2" s="1"/>
  <c r="H5" i="1"/>
  <c r="H7" i="1" l="1"/>
  <c r="H9" i="1" s="1"/>
  <c r="B10" i="3"/>
  <c r="G10" i="3" s="1"/>
  <c r="I10" i="3" l="1"/>
  <c r="J10" i="3" s="1"/>
  <c r="G15" i="3"/>
  <c r="G13" i="3"/>
  <c r="G17" i="3" l="1"/>
</calcChain>
</file>

<file path=xl/sharedStrings.xml><?xml version="1.0" encoding="utf-8"?>
<sst xmlns="http://schemas.openxmlformats.org/spreadsheetml/2006/main" count="98" uniqueCount="48">
  <si>
    <t>Enter Employee’s phone number</t>
  </si>
  <si>
    <t>Manager details</t>
  </si>
  <si>
    <t>Enter Manager name</t>
  </si>
  <si>
    <t>Enter Manager’s phone number</t>
  </si>
  <si>
    <t>Timesheet period</t>
  </si>
  <si>
    <t>Period start</t>
  </si>
  <si>
    <t>Period end</t>
  </si>
  <si>
    <t>Date</t>
  </si>
  <si>
    <t>Enter Start date</t>
  </si>
  <si>
    <t>Enter End date</t>
  </si>
  <si>
    <t>Time in</t>
  </si>
  <si>
    <t>Lunch start</t>
  </si>
  <si>
    <t>Lunch end</t>
  </si>
  <si>
    <t>Time out</t>
  </si>
  <si>
    <t>Total work week hours</t>
  </si>
  <si>
    <t>Total hours worked</t>
  </si>
  <si>
    <t>Regular hours</t>
  </si>
  <si>
    <t>Overtime hours</t>
  </si>
  <si>
    <t>Hours worked</t>
  </si>
  <si>
    <t xml:space="preserve"> </t>
  </si>
  <si>
    <t>Client details</t>
  </si>
  <si>
    <t>Ossie</t>
  </si>
  <si>
    <t>Job cost</t>
  </si>
  <si>
    <t>Comments or Special Instructions:</t>
  </si>
  <si>
    <t>None</t>
  </si>
  <si>
    <t>DESCRIPTION</t>
  </si>
  <si>
    <t>TAXABLE?</t>
  </si>
  <si>
    <t>Item 1</t>
  </si>
  <si>
    <t>SUBTOTAL</t>
  </si>
  <si>
    <t>TAX RATE</t>
  </si>
  <si>
    <t>SALES TAX</t>
  </si>
  <si>
    <t>OTHER</t>
  </si>
  <si>
    <t>TOTAL</t>
  </si>
  <si>
    <t>hourly cost</t>
  </si>
  <si>
    <t xml:space="preserve">Ossie </t>
  </si>
  <si>
    <t>t</t>
  </si>
  <si>
    <t>Tax Rate</t>
  </si>
  <si>
    <t>Job Total</t>
  </si>
  <si>
    <t>Job tax</t>
  </si>
  <si>
    <t>Cost</t>
  </si>
  <si>
    <t>Estimate sheet</t>
  </si>
  <si>
    <t>Details</t>
  </si>
  <si>
    <t>Record Vocals</t>
  </si>
  <si>
    <t>Mixing</t>
  </si>
  <si>
    <t>Cost ph</t>
  </si>
  <si>
    <t>Expected hours</t>
  </si>
  <si>
    <t>Estimate Job hours</t>
  </si>
  <si>
    <t>TOTAL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</si>
</sst>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64" formatCode="_(* #,##0_);_(* \(#,##0\);_(* &quot;-&quot;_);_(@_)"/>
    <numFmt numFmtId="165" formatCode="_(* #,##0.00_);_(* \(#,##0.00\);_(* &quot;-&quot;??_);_(@_)"/>
    <numFmt numFmtId="166" formatCode="hh:mm:ss;@"/>
    <numFmt numFmtId="167" formatCode="[&lt;=9999999]###\-####;\(###\)\ ###\-####"/>
  </numFmts>
  <fonts count="27" x14ac:knownFonts="1">
    <font>
      <sz val="11"/>
      <color theme="1"/>
      <name val="Franklin Gothic Book"/>
      <family val="2"/>
      <scheme val="minor"/>
    </font>
    <font>
      <sz val="12"/>
      <color theme="5"/>
      <name val="Constantia"/>
      <family val="2"/>
      <scheme val="major"/>
    </font>
    <font>
      <sz val="11"/>
      <color theme="5"/>
      <name val="Constantia"/>
      <family val="2"/>
      <scheme val="major"/>
    </font>
    <font>
      <sz val="18"/>
      <name val="Franklin Gothic Book"/>
      <family val="2"/>
      <scheme val="minor"/>
    </font>
    <font>
      <sz val="11"/>
      <name val="Constantia"/>
      <family val="2"/>
      <scheme val="major"/>
    </font>
    <font>
      <sz val="20"/>
      <name val="Franklin Gothic Book"/>
      <family val="2"/>
      <scheme val="minor"/>
    </font>
    <font>
      <b/>
      <sz val="12"/>
      <color theme="5"/>
      <name val="Constantia"/>
      <family val="2"/>
      <scheme val="major"/>
    </font>
    <font>
      <b/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b/>
      <sz val="11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11"/>
      <color rgb="FF3F3F76"/>
      <name val="Franklin Gothic Book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5117038483843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</borders>
  <cellStyleXfs count="55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6" applyNumberFormat="0" applyAlignment="0" applyProtection="0"/>
    <xf numFmtId="0" fontId="17" fillId="6" borderId="7" applyNumberFormat="0" applyAlignment="0" applyProtection="0"/>
    <xf numFmtId="0" fontId="18" fillId="6" borderId="6" applyNumberFormat="0" applyAlignment="0" applyProtection="0"/>
    <xf numFmtId="0" fontId="19" fillId="0" borderId="8" applyNumberFormat="0" applyFill="0" applyAlignment="0" applyProtection="0"/>
    <xf numFmtId="0" fontId="20" fillId="7" borderId="9" applyNumberFormat="0" applyAlignment="0" applyProtection="0"/>
    <xf numFmtId="0" fontId="21" fillId="0" borderId="0" applyNumberFormat="0" applyFill="0" applyBorder="0" applyAlignment="0" applyProtection="0"/>
    <xf numFmtId="0" fontId="8" fillId="8" borderId="10" applyNumberFormat="0" applyFont="0" applyAlignment="0" applyProtection="0"/>
    <xf numFmtId="0" fontId="22" fillId="0" borderId="0" applyNumberFormat="0" applyFill="0" applyBorder="0" applyAlignment="0" applyProtection="0"/>
    <xf numFmtId="0" fontId="7" fillId="0" borderId="11" applyNumberFormat="0" applyFill="0" applyAlignment="0" applyProtection="0"/>
    <xf numFmtId="0" fontId="23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3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3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3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3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3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4" fillId="0" borderId="0">
      <alignment horizontal="right"/>
    </xf>
    <xf numFmtId="14" fontId="25" fillId="0" borderId="0">
      <alignment horizontal="left"/>
    </xf>
    <xf numFmtId="167" fontId="25" fillId="0" borderId="0" applyFont="0" applyFill="0" applyBorder="0">
      <alignment horizontal="left" vertical="top"/>
    </xf>
    <xf numFmtId="0" fontId="25" fillId="0" borderId="0" applyNumberFormat="0" applyFont="0" applyFill="0" applyBorder="0">
      <alignment horizontal="left" wrapText="1"/>
    </xf>
    <xf numFmtId="0" fontId="25" fillId="33" borderId="12">
      <alignment horizontal="center" vertical="center"/>
    </xf>
    <xf numFmtId="14" fontId="25" fillId="0" borderId="0" applyFont="0" applyFill="0" applyBorder="0">
      <alignment horizontal="center" vertical="center"/>
    </xf>
    <xf numFmtId="0" fontId="25" fillId="0" borderId="13" applyNumberFormat="0" applyFont="0" applyFill="0" applyAlignment="0">
      <alignment horizontal="left" vertical="center" wrapText="1"/>
    </xf>
    <xf numFmtId="49" fontId="25" fillId="0" borderId="0" applyFont="0" applyFill="0" applyBorder="0">
      <alignment horizontal="center" vertical="center" wrapText="1"/>
    </xf>
  </cellStyleXfs>
  <cellXfs count="5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 vertical="center" indent="1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top" indent="3"/>
    </xf>
    <xf numFmtId="14" fontId="4" fillId="0" borderId="0" xfId="0" applyNumberFormat="1" applyFont="1" applyAlignment="1">
      <alignment horizontal="left" vertical="center" indent="1"/>
    </xf>
    <xf numFmtId="14" fontId="4" fillId="0" borderId="0" xfId="0" applyNumberFormat="1" applyFont="1" applyAlignment="1">
      <alignment horizontal="left" vertical="top" indent="1"/>
    </xf>
    <xf numFmtId="2" fontId="5" fillId="0" borderId="0" xfId="0" applyNumberFormat="1" applyFont="1" applyAlignment="1">
      <alignment horizontal="right" vertical="top" indent="2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right" indent="2"/>
    </xf>
    <xf numFmtId="0" fontId="6" fillId="0" borderId="1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 indent="2"/>
    </xf>
    <xf numFmtId="166" fontId="0" fillId="0" borderId="0" xfId="0" applyNumberFormat="1" applyAlignment="1">
      <alignment horizontal="center" vertical="center"/>
    </xf>
    <xf numFmtId="0" fontId="22" fillId="0" borderId="0" xfId="2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2" fillId="0" borderId="0" xfId="21" applyAlignment="1">
      <alignment horizontal="left" vertical="top"/>
    </xf>
    <xf numFmtId="0" fontId="25" fillId="33" borderId="12" xfId="51">
      <alignment horizontal="center" vertical="center"/>
    </xf>
    <xf numFmtId="0" fontId="16" fillId="5" borderId="6" xfId="14" applyAlignment="1">
      <alignment horizontal="center" vertical="center" wrapText="1"/>
    </xf>
    <xf numFmtId="165" fontId="0" fillId="0" borderId="0" xfId="1" applyFont="1" applyFill="1" applyBorder="1" applyAlignment="1">
      <alignment horizontal="center" vertical="center"/>
    </xf>
    <xf numFmtId="0" fontId="0" fillId="0" borderId="13" xfId="53" applyFont="1">
      <alignment horizontal="left" vertical="center" wrapText="1"/>
    </xf>
    <xf numFmtId="44" fontId="0" fillId="0" borderId="0" xfId="3" applyFont="1" applyFill="1" applyBorder="1" applyAlignment="1">
      <alignment horizontal="right" vertical="center"/>
    </xf>
    <xf numFmtId="49" fontId="0" fillId="0" borderId="0" xfId="54" applyFont="1" applyFill="1" applyBorder="1">
      <alignment horizontal="center" vertical="center" wrapText="1"/>
    </xf>
    <xf numFmtId="4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indent="1"/>
    </xf>
    <xf numFmtId="44" fontId="0" fillId="0" borderId="0" xfId="0" applyNumberFormat="1" applyAlignment="1">
      <alignment horizontal="right" vertical="center"/>
    </xf>
    <xf numFmtId="0" fontId="7" fillId="0" borderId="11" xfId="22" applyAlignment="1">
      <alignment horizontal="right" vertical="center" indent="1"/>
    </xf>
    <xf numFmtId="9" fontId="25" fillId="0" borderId="12" xfId="5" applyFont="1" applyBorder="1" applyAlignment="1">
      <alignment horizontal="right" vertical="center"/>
    </xf>
    <xf numFmtId="44" fontId="25" fillId="0" borderId="12" xfId="3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 wrapText="1"/>
    </xf>
    <xf numFmtId="44" fontId="0" fillId="0" borderId="0" xfId="0" applyNumberFormat="1" applyAlignment="1">
      <alignment horizontal="left" vertical="center" wrapText="1"/>
    </xf>
    <xf numFmtId="0" fontId="6" fillId="0" borderId="0" xfId="0" applyFont="1" applyAlignment="1">
      <alignment horizontal="left" indent="1"/>
    </xf>
    <xf numFmtId="0" fontId="0" fillId="34" borderId="0" xfId="0" applyFill="1" applyAlignment="1">
      <alignment horizontal="center" vertical="center"/>
    </xf>
    <xf numFmtId="0" fontId="0" fillId="34" borderId="13" xfId="53" applyFont="1" applyFill="1" applyAlignment="1">
      <alignment horizontal="center" vertical="center"/>
    </xf>
    <xf numFmtId="0" fontId="0" fillId="34" borderId="0" xfId="0" applyFill="1" applyAlignment="1">
      <alignment horizontal="left" vertical="center" wrapText="1"/>
    </xf>
    <xf numFmtId="44" fontId="16" fillId="5" borderId="6" xfId="14" applyNumberFormat="1" applyAlignment="1">
      <alignment horizontal="center" vertical="center" wrapText="1"/>
    </xf>
    <xf numFmtId="14" fontId="25" fillId="35" borderId="12" xfId="52" applyFill="1" applyBorder="1">
      <alignment horizontal="center" vertical="center"/>
    </xf>
    <xf numFmtId="0" fontId="16" fillId="0" borderId="6" xfId="14" applyFill="1" applyAlignment="1">
      <alignment horizontal="center" vertical="center" wrapText="1"/>
    </xf>
    <xf numFmtId="0" fontId="24" fillId="33" borderId="12" xfId="51" applyFont="1">
      <alignment horizontal="center" vertical="center"/>
    </xf>
    <xf numFmtId="44" fontId="26" fillId="5" borderId="6" xfId="14" applyNumberFormat="1" applyFont="1" applyAlignment="1">
      <alignment horizontal="center" vertical="center" wrapText="1"/>
    </xf>
    <xf numFmtId="44" fontId="0" fillId="34" borderId="12" xfId="3" applyFont="1" applyFill="1" applyBorder="1" applyAlignment="1">
      <alignment horizontal="right" vertical="center"/>
    </xf>
    <xf numFmtId="44" fontId="25" fillId="34" borderId="12" xfId="3" applyFont="1" applyFill="1" applyBorder="1" applyAlignment="1">
      <alignment horizontal="right" vertical="center"/>
    </xf>
    <xf numFmtId="0" fontId="12" fillId="0" borderId="5" xfId="9" applyAlignment="1">
      <alignment vertical="top"/>
    </xf>
    <xf numFmtId="167" fontId="0" fillId="0" borderId="0" xfId="49" applyFont="1">
      <alignment horizontal="left" vertical="top"/>
    </xf>
    <xf numFmtId="0" fontId="10" fillId="0" borderId="3" xfId="7"/>
    <xf numFmtId="0" fontId="9" fillId="0" borderId="0" xfId="6" applyAlignment="1">
      <alignment horizontal="right"/>
    </xf>
  </cellXfs>
  <cellStyles count="55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Customised field" xfId="53" xr:uid="{711C5A84-3AB7-4260-A44A-64C34CB2F0B7}"/>
    <cellStyle name="Date" xfId="48" xr:uid="{3BD9BE6A-2DAB-49E4-B96B-83EA7C05F2AF}"/>
    <cellStyle name="Date label" xfId="47" xr:uid="{CCA29A8D-2084-44F7-BF16-D2D39801E67D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ame" xfId="50" xr:uid="{1FE0FAC0-1E61-43EA-8503-DE7F320BA5C5}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 cent" xfId="5" builtinId="5" customBuiltin="1"/>
    <cellStyle name="Phone" xfId="49" xr:uid="{3C9D2E79-B893-47CD-9436-73FF05888BA9}"/>
    <cellStyle name="Shipping Date" xfId="52" xr:uid="{64F0F997-399F-4E0E-9602-048493B59A63}"/>
    <cellStyle name="Shipping Details" xfId="51" xr:uid="{FA1142D4-1566-4E64-8457-E829DA21FBEF}"/>
    <cellStyle name="Taxable?" xfId="54" xr:uid="{89620AFC-1B0B-47C8-8F80-A65C48D3F795}"/>
    <cellStyle name="Title" xfId="6" builtinId="15" customBuiltin="1"/>
    <cellStyle name="Total" xfId="22" builtinId="25" customBuiltin="1"/>
    <cellStyle name="Warning Text" xfId="19" builtinId="11" customBuiltin="1"/>
  </cellStyles>
  <dxfs count="65">
    <dxf>
      <alignment horizontal="left" vertical="center" textRotation="0" wrapText="1" indent="0" justifyLastLine="0" shrinkToFit="0" readingOrder="0"/>
    </dxf>
    <dxf>
      <numFmt numFmtId="34" formatCode="_-&quot;£&quot;* #,##0.00_-;\-&quot;£&quot;* #,##0.00_-;_-&quot;£&quot;* &quot;-&quot;??_-;_-@_-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4" formatCode="_-&quot;£&quot;* #,##0.00_-;\-&quot;£&quot;* #,##0.00_-;_-&quot;£&quot;* &quot;-&quot;??_-;_-@_-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3" formatCode="0%"/>
      <alignment horizontal="left" vertical="center" textRotation="0" wrapText="1" indent="0" justifyLastLine="0" shrinkToFit="0" readingOrder="0"/>
    </dxf>
    <dxf>
      <numFmt numFmtId="34" formatCode="_-&quot;£&quot;* #,##0.00_-;\-&quot;£&quot;* #,##0.00_-;_-&quot;£&quot;* &quot;-&quot;??_-;_-@_-"/>
      <alignment horizontal="right" vertical="center" textRotation="0" wrapText="0" indent="0" justifyLastLine="0" shrinkToFit="0" readingOrder="0"/>
    </dxf>
    <dxf>
      <alignment horizontal="right" vertical="center" textRotation="0" wrapText="0" indent="1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h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00000000-0011-0000-FFFF-FFFF00000000}">
      <tableStyleElement type="wholeTable" dxfId="64"/>
      <tableStyleElement type="headerRow" dxfId="63"/>
      <tableStyleElement type="secondRowStripe" dxfId="62"/>
    </tableStyle>
    <tableStyle name="Price quote with tax calculation" pivot="0" count="5" xr9:uid="{04611816-62EA-44B5-A95B-67AF0FF2C6D9}">
      <tableStyleElement type="wholeTable" dxfId="61"/>
      <tableStyleElement type="headerRow" dxfId="60"/>
      <tableStyleElement type="totalRow" dxfId="59"/>
      <tableStyleElement type="lastColumn" dxfId="58"/>
      <tableStyleElement type="lastTotalCell" dxfId="57"/>
    </tableStyle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0</xdr:colOff>
      <xdr:row>0</xdr:row>
      <xdr:rowOff>1329690</xdr:rowOff>
    </xdr:to>
    <xdr:pic>
      <xdr:nvPicPr>
        <xdr:cNvPr id="4" name="Picture 3" descr="Abstract image" title="Banner 1">
          <a:extLst>
            <a:ext uri="{FF2B5EF4-FFF2-40B4-BE49-F238E27FC236}">
              <a16:creationId xmlns:a16="http://schemas.microsoft.com/office/drawing/2014/main" id="{72F120BD-8ECB-4DC3-867E-0532D3EE9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17920" cy="13296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573471</xdr:rowOff>
    </xdr:from>
    <xdr:to>
      <xdr:col>7</xdr:col>
      <xdr:colOff>225486</xdr:colOff>
      <xdr:row>0</xdr:row>
      <xdr:rowOff>1329690</xdr:rowOff>
    </xdr:to>
    <xdr:sp macro="" textlink="">
      <xdr:nvSpPr>
        <xdr:cNvPr id="5" name="TextBox 1" descr="Timesheet" title="Title 1">
          <a:extLst>
            <a:ext uri="{FF2B5EF4-FFF2-40B4-BE49-F238E27FC236}">
              <a16:creationId xmlns:a16="http://schemas.microsoft.com/office/drawing/2014/main" id="{5BC1378B-1867-4135-A11D-CA6B9AA20AB9}"/>
            </a:ext>
          </a:extLst>
        </xdr:cNvPr>
        <xdr:cNvSpPr txBox="1"/>
      </xdr:nvSpPr>
      <xdr:spPr>
        <a:xfrm>
          <a:off x="152400" y="573471"/>
          <a:ext cx="5407086" cy="75621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n-gb" sz="2000">
              <a:solidFill>
                <a:schemeClr val="bg1"/>
              </a:solidFill>
              <a:latin typeface="Constantia" panose="02030602050306030303" pitchFamily="18" charset="0"/>
            </a:rPr>
            <a:t>Timesheet</a:t>
          </a:r>
        </a:p>
        <a:p>
          <a:pPr marL="0" algn="l" rtl="0"/>
          <a:r>
            <a:rPr lang="en-gb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Calmsoundz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1016000</xdr:colOff>
      <xdr:row>0</xdr:row>
      <xdr:rowOff>1329690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DA5066DA-D6B9-429B-AE00-0B3F7D4FD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50" y="0"/>
          <a:ext cx="6096000" cy="13296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573471</xdr:rowOff>
    </xdr:from>
    <xdr:to>
      <xdr:col>6</xdr:col>
      <xdr:colOff>225486</xdr:colOff>
      <xdr:row>1</xdr:row>
      <xdr:rowOff>2540</xdr:rowOff>
    </xdr:to>
    <xdr:sp macro="" textlink="">
      <xdr:nvSpPr>
        <xdr:cNvPr id="3" name="TextBox 1" descr="Timesheet" title="Title 1">
          <a:extLst>
            <a:ext uri="{FF2B5EF4-FFF2-40B4-BE49-F238E27FC236}">
              <a16:creationId xmlns:a16="http://schemas.microsoft.com/office/drawing/2014/main" id="{8580DB5D-B07F-41A3-8A95-3E828DD8BA21}"/>
            </a:ext>
          </a:extLst>
        </xdr:cNvPr>
        <xdr:cNvSpPr txBox="1"/>
      </xdr:nvSpPr>
      <xdr:spPr>
        <a:xfrm>
          <a:off x="146050" y="573471"/>
          <a:ext cx="5305486" cy="56571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n-gb" sz="2000">
              <a:solidFill>
                <a:schemeClr val="bg1"/>
              </a:solidFill>
              <a:latin typeface="Constantia" panose="02030602050306030303" pitchFamily="18" charset="0"/>
            </a:rPr>
            <a:t>Timesheet</a:t>
          </a:r>
        </a:p>
        <a:p>
          <a:pPr marL="0" algn="l" rtl="0"/>
          <a:r>
            <a:rPr lang="en-gb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Calmsoundz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1016000</xdr:colOff>
      <xdr:row>0</xdr:row>
      <xdr:rowOff>1329690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8FC9A4F-FE9E-41D7-91AB-52B19542E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50" y="0"/>
          <a:ext cx="6096000" cy="13296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573471</xdr:rowOff>
    </xdr:from>
    <xdr:to>
      <xdr:col>6</xdr:col>
      <xdr:colOff>225486</xdr:colOff>
      <xdr:row>0</xdr:row>
      <xdr:rowOff>1329690</xdr:rowOff>
    </xdr:to>
    <xdr:sp macro="" textlink="">
      <xdr:nvSpPr>
        <xdr:cNvPr id="3" name="TextBox 1" descr="Timesheet" title="Title 1">
          <a:extLst>
            <a:ext uri="{FF2B5EF4-FFF2-40B4-BE49-F238E27FC236}">
              <a16:creationId xmlns:a16="http://schemas.microsoft.com/office/drawing/2014/main" id="{DF669C82-948D-4904-BAA2-FE5C07B0860F}"/>
            </a:ext>
          </a:extLst>
        </xdr:cNvPr>
        <xdr:cNvSpPr txBox="1"/>
      </xdr:nvSpPr>
      <xdr:spPr>
        <a:xfrm>
          <a:off x="146050" y="573471"/>
          <a:ext cx="5305486" cy="75621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n-gb" sz="2000">
              <a:solidFill>
                <a:schemeClr val="bg1"/>
              </a:solidFill>
              <a:latin typeface="Constantia" panose="02030602050306030303" pitchFamily="18" charset="0"/>
            </a:rPr>
            <a:t>Timesheet</a:t>
          </a:r>
        </a:p>
        <a:p>
          <a:pPr marL="0" algn="l" rtl="0"/>
          <a:r>
            <a:rPr lang="en-gb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Company name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Timesheet" displayName="Table_Timesheet" ref="B11:H18" headerRowDxfId="56" dataDxfId="55">
  <tableColumns count="7">
    <tableColumn id="1" xr3:uid="{00000000-0010-0000-0000-000001000000}" name="Date" totalsRowLabel="Total" dataDxfId="54" totalsRowDxfId="53"/>
    <tableColumn id="7" xr3:uid="{0B4B5B61-93D5-466F-929F-CE3A882E2646}" name="Details" dataDxfId="52" totalsRowDxfId="51"/>
    <tableColumn id="2" xr3:uid="{00000000-0010-0000-0000-000002000000}" name="Time in" dataDxfId="50" totalsRowDxfId="49"/>
    <tableColumn id="3" xr3:uid="{00000000-0010-0000-0000-000003000000}" name="Lunch start" dataDxfId="48" totalsRowDxfId="47"/>
    <tableColumn id="4" xr3:uid="{00000000-0010-0000-0000-000004000000}" name="Lunch end" dataDxfId="46" totalsRowDxfId="45"/>
    <tableColumn id="5" xr3:uid="{00000000-0010-0000-0000-000005000000}" name="Time out" dataDxfId="44" totalsRowDxfId="43"/>
    <tableColumn id="6" xr3:uid="{00000000-0010-0000-0000-000006000000}" name="Hours worked" totalsRowFunction="sum" dataDxfId="42" totalsRowDxfId="41">
      <calculatedColumnFormula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calculatedColumnFormula>
    </tableColumn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AA68F8-32BE-42AE-A4AB-E6259693E343}" name="Table_Timesheet5" displayName="Table_Timesheet5" ref="B11:G18" headerRowDxfId="40" dataDxfId="39">
  <tableColumns count="6">
    <tableColumn id="1" xr3:uid="{D6C705B1-2ADD-4CC3-AA42-6B67496AE01A}" name="Date" totalsRowLabel="Total" dataDxfId="38" totalsRowDxfId="37"/>
    <tableColumn id="2" xr3:uid="{046A9D4F-1E17-4E74-A34A-7D7254448255}" name="Time in" dataDxfId="36" totalsRowDxfId="35"/>
    <tableColumn id="3" xr3:uid="{555BF30D-6B58-45E9-934B-1C11EE93115F}" name="Lunch start" dataDxfId="34" totalsRowDxfId="33"/>
    <tableColumn id="4" xr3:uid="{A381FBB5-9C31-4EE8-A605-34C9002A1C00}" name="Lunch end" dataDxfId="32" totalsRowDxfId="31"/>
    <tableColumn id="5" xr3:uid="{112C7BD8-56A0-431B-94BE-C0E01E04F6DA}" name="Time out" dataDxfId="30" totalsRowDxfId="29"/>
    <tableColumn id="6" xr3:uid="{292EE626-F0C4-4DB8-A6A3-B7AEF7E57113}" name="Hours worked" totalsRowFunction="sum" dataDxfId="28" totalsRowDxfId="27">
      <calculatedColumnFormula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calculatedColumnFormula>
    </tableColumn>
  </tableColumns>
  <tableStyleInfo name="Busines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30F83-23AF-407F-B1A7-C68273D44168}" name="Table_Timesheet2" displayName="Table_Timesheet2" ref="B11:G18" headerRowDxfId="26" dataDxfId="25">
  <tableColumns count="6">
    <tableColumn id="1" xr3:uid="{7A7BDBF7-36CF-4960-9016-0DCCC6563249}" name="Date" totalsRowLabel="Total" dataDxfId="24" totalsRowDxfId="23"/>
    <tableColumn id="2" xr3:uid="{827C246C-6762-4FA8-A0A1-4505C6F09D6D}" name="Time in" dataDxfId="22" totalsRowDxfId="21"/>
    <tableColumn id="3" xr3:uid="{950B2C09-86C4-4D7C-BC6A-45ED914DF83B}" name="Lunch start" dataDxfId="20" totalsRowDxfId="19"/>
    <tableColumn id="4" xr3:uid="{325E5B1D-0CB4-4BAD-AEC6-F0DC4F02B219}" name="Lunch end" dataDxfId="18" totalsRowDxfId="17"/>
    <tableColumn id="5" xr3:uid="{B905FB05-0EBF-42B2-B04A-BF0EA6A580C9}" name="Time out" dataDxfId="16" totalsRowDxfId="15"/>
    <tableColumn id="6" xr3:uid="{26776B68-0212-48D0-9F72-5E5D355350DD}" name="Hours worked" totalsRowFunction="sum" dataDxfId="14" totalsRowDxfId="13">
      <calculatedColumnFormula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calculatedColumnFormula>
    </tableColumn>
  </tableColumns>
  <tableStyleInfo name="Busines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066141-E8E0-45BB-B033-8B2733B0A5DE}" name="Quotation" displayName="Quotation" ref="B7:J13" totalsRowCount="1" headerRowDxfId="12">
  <autoFilter ref="B7:J12" xr:uid="{EE066141-E8E0-45BB-B033-8B2733B0A5DE}"/>
  <tableColumns count="9">
    <tableColumn id="1" xr3:uid="{672913BE-A4D1-4A85-8645-1CAE91EC88F2}" name="Hours worked" totalsRowDxfId="11" dataCellStyle="Comma"/>
    <tableColumn id="2" xr3:uid="{80400631-D4C2-41B3-B009-2CEEB0B9AF81}" name="DESCRIPTION" totalsRowDxfId="10" dataCellStyle="Normal"/>
    <tableColumn id="3" xr3:uid="{308518D1-EA79-4C69-93A9-A471C6EF0DD7}" name=" " totalsRowDxfId="9"/>
    <tableColumn id="4" xr3:uid="{B47D8392-017C-43CE-BA89-A5B1650E003C}" name="hourly cost" totalsRowDxfId="8" dataCellStyle="Currency"/>
    <tableColumn id="5" xr3:uid="{72774243-8EFF-4AF1-92E0-90BEB00B5CA2}" name="TAXABLE?" totalsRowLabel="SUBTOTAL" totalsRowDxfId="7"/>
    <tableColumn id="6" xr3:uid="{5113E528-8A00-49EC-A247-68B5555FF270}" name="Cost" totalsRowFunction="sum" totalsRowDxfId="6" dataCellStyle="Currency">
      <calculatedColumnFormula>IFERROR(IF(B8,B8*E8,""), "")</calculatedColumnFormula>
    </tableColumn>
    <tableColumn id="7" xr3:uid="{F4B0591A-B32C-4F33-91E9-A91BFF3A6B38}" name="Tax Rate" dataDxfId="5" totalsRowDxfId="4"/>
    <tableColumn id="8" xr3:uid="{9D028058-A3A1-4882-8D16-0F921D670435}" name="Job tax" dataDxfId="3" totalsRowDxfId="2">
      <calculatedColumnFormula>IFERROR(H8*SUMIF(F8,"T",G8), "")</calculatedColumnFormula>
    </tableColumn>
    <tableColumn id="9" xr3:uid="{CAF9C349-1B25-4372-9C0E-5B4C05FD2699}" name="Job Total" dataDxfId="1" totalsRowDxfId="0">
      <calculatedColumnFormula>SUM(G8+I8)</calculatedColumnFormula>
    </tableColumn>
  </tableColumns>
  <tableStyleInfo name="Price quote with tax calculation" showFirstColumn="0" showLastColumn="1" showRowStripes="1" showColumnStripes="0"/>
  <extLst>
    <ext xmlns:x14="http://schemas.microsoft.com/office/spreadsheetml/2009/9/main" uri="{504A1905-F514-4f6f-8877-14C23A59335A}">
      <x14:table altTextSummary="Enter Quantity, Description, Unit Price, and Taxable status in this table. Subtotal is automatically calculated"/>
    </ext>
  </extLst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8"/>
  <sheetViews>
    <sheetView showGridLines="0" workbookViewId="0">
      <selection activeCell="C10" sqref="C10"/>
    </sheetView>
  </sheetViews>
  <sheetFormatPr defaultColWidth="8.84375" defaultRowHeight="30" customHeight="1" x14ac:dyDescent="0.4"/>
  <cols>
    <col min="1" max="1" width="1.765625" style="1" customWidth="1"/>
    <col min="2" max="7" width="12.3046875" style="1" customWidth="1"/>
    <col min="8" max="8" width="15.3828125" style="1" customWidth="1"/>
    <col min="9" max="12" width="1.765625" style="1" customWidth="1"/>
    <col min="13" max="16384" width="8.84375" style="1"/>
  </cols>
  <sheetData>
    <row r="1" spans="2:13" ht="105" customHeight="1" x14ac:dyDescent="0.4">
      <c r="I1" s="1" t="s">
        <v>19</v>
      </c>
    </row>
    <row r="2" spans="2:13" customFormat="1" ht="48.75" customHeight="1" x14ac:dyDescent="0.4">
      <c r="B2" s="18" t="s">
        <v>20</v>
      </c>
      <c r="C2" s="18"/>
      <c r="D2" s="6"/>
      <c r="E2" s="6"/>
      <c r="G2" s="6"/>
      <c r="H2" s="19" t="s">
        <v>14</v>
      </c>
    </row>
    <row r="3" spans="2:13" customFormat="1" ht="30" customHeight="1" x14ac:dyDescent="0.4">
      <c r="B3" s="11" t="s">
        <v>21</v>
      </c>
      <c r="C3" s="11"/>
      <c r="H3" s="15">
        <v>10</v>
      </c>
      <c r="K3" t="s">
        <v>19</v>
      </c>
    </row>
    <row r="4" spans="2:13" customFormat="1" ht="30" customHeight="1" x14ac:dyDescent="0.4">
      <c r="B4" s="12" t="s">
        <v>0</v>
      </c>
      <c r="C4" s="12"/>
      <c r="G4" s="20"/>
      <c r="H4" s="19" t="s">
        <v>15</v>
      </c>
    </row>
    <row r="5" spans="2:13" customFormat="1" ht="30" customHeight="1" x14ac:dyDescent="0.4">
      <c r="B5" s="18" t="s">
        <v>1</v>
      </c>
      <c r="C5" s="42"/>
      <c r="E5" s="6"/>
      <c r="G5" s="7"/>
      <c r="H5" s="15">
        <f>SUM(Table_Timesheet[Hours worked])</f>
        <v>3.9166666666666661</v>
      </c>
      <c r="M5" t="s">
        <v>19</v>
      </c>
    </row>
    <row r="6" spans="2:13" ht="30" customHeight="1" x14ac:dyDescent="0.35">
      <c r="B6" s="11" t="s">
        <v>2</v>
      </c>
      <c r="C6" s="11"/>
      <c r="D6" s="9"/>
      <c r="G6" s="10"/>
      <c r="H6" s="19" t="s">
        <v>16</v>
      </c>
    </row>
    <row r="7" spans="2:13" s="4" customFormat="1" ht="30" customHeight="1" x14ac:dyDescent="0.4">
      <c r="B7" s="12" t="s">
        <v>3</v>
      </c>
      <c r="C7" s="12"/>
      <c r="H7" s="15">
        <f>IF(TotalHoursWorked&lt;=WorkWeekHours,TotalHoursWorked,WorkWeekHours)</f>
        <v>3.9166666666666661</v>
      </c>
    </row>
    <row r="8" spans="2:13" ht="30" customHeight="1" x14ac:dyDescent="0.35">
      <c r="B8" s="18" t="s">
        <v>4</v>
      </c>
      <c r="C8" s="18"/>
      <c r="D8" s="8"/>
      <c r="E8" s="6"/>
      <c r="G8" s="5"/>
      <c r="H8" s="19" t="s">
        <v>17</v>
      </c>
    </row>
    <row r="9" spans="2:13" ht="30" customHeight="1" x14ac:dyDescent="0.35">
      <c r="B9" s="16" t="s">
        <v>5</v>
      </c>
      <c r="C9" s="16"/>
      <c r="D9" s="13" t="s">
        <v>8</v>
      </c>
      <c r="F9" s="7"/>
      <c r="G9" s="7"/>
      <c r="H9" s="15">
        <f>TotalHoursWorked-RegularHours</f>
        <v>0</v>
      </c>
    </row>
    <row r="10" spans="2:13" ht="48" customHeight="1" x14ac:dyDescent="0.45">
      <c r="B10" s="17" t="s">
        <v>6</v>
      </c>
      <c r="C10" s="17"/>
      <c r="D10" s="14" t="s">
        <v>9</v>
      </c>
      <c r="F10" s="7"/>
      <c r="G10" s="7"/>
      <c r="H10" s="22"/>
    </row>
    <row r="11" spans="2:13" ht="30" customHeight="1" x14ac:dyDescent="0.4">
      <c r="B11" s="21" t="s">
        <v>7</v>
      </c>
      <c r="C11" s="21" t="s">
        <v>41</v>
      </c>
      <c r="D11" s="21" t="s">
        <v>10</v>
      </c>
      <c r="E11" s="21" t="s">
        <v>11</v>
      </c>
      <c r="F11" s="21" t="s">
        <v>12</v>
      </c>
      <c r="G11" s="21" t="s">
        <v>13</v>
      </c>
      <c r="H11" s="21" t="s">
        <v>18</v>
      </c>
    </row>
    <row r="12" spans="2:13" ht="30" customHeight="1" x14ac:dyDescent="0.4">
      <c r="B12" s="2">
        <v>45082</v>
      </c>
      <c r="C12" s="2" t="s">
        <v>42</v>
      </c>
      <c r="D12" s="23">
        <v>0.8125</v>
      </c>
      <c r="E12" s="23">
        <v>0</v>
      </c>
      <c r="F12" s="23">
        <v>0</v>
      </c>
      <c r="G12" s="23">
        <v>0.92708333333333337</v>
      </c>
      <c r="H12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2.7500000000000009</v>
      </c>
    </row>
    <row r="13" spans="2:13" ht="30" customHeight="1" x14ac:dyDescent="0.4">
      <c r="B13" s="2">
        <v>45085</v>
      </c>
      <c r="C13" s="2" t="s">
        <v>43</v>
      </c>
      <c r="D13" s="23">
        <v>0.63888888888888895</v>
      </c>
      <c r="E13" s="23"/>
      <c r="F13" s="23"/>
      <c r="G13" s="23">
        <v>0.6875</v>
      </c>
      <c r="H13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1.1666666666666652</v>
      </c>
    </row>
    <row r="14" spans="2:13" ht="30" customHeight="1" x14ac:dyDescent="0.4">
      <c r="B14" s="2"/>
      <c r="C14" s="2"/>
      <c r="D14" s="23">
        <v>0</v>
      </c>
      <c r="E14" s="23"/>
      <c r="F14" s="23"/>
      <c r="G14" s="23">
        <v>0</v>
      </c>
      <c r="H14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0</v>
      </c>
    </row>
    <row r="15" spans="2:13" ht="30" customHeight="1" x14ac:dyDescent="0.4">
      <c r="B15" s="2"/>
      <c r="C15" s="2"/>
      <c r="D15" s="23"/>
      <c r="E15" s="23"/>
      <c r="F15" s="23"/>
      <c r="G15" s="23"/>
      <c r="H15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0</v>
      </c>
    </row>
    <row r="16" spans="2:13" ht="30" customHeight="1" x14ac:dyDescent="0.4">
      <c r="B16" s="2"/>
      <c r="C16" s="2"/>
      <c r="D16" s="23"/>
      <c r="E16" s="23"/>
      <c r="F16" s="23"/>
      <c r="G16" s="23"/>
      <c r="H16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0</v>
      </c>
    </row>
    <row r="17" spans="2:8" ht="30" customHeight="1" x14ac:dyDescent="0.4">
      <c r="B17" s="2"/>
      <c r="C17" s="2"/>
      <c r="D17" s="23"/>
      <c r="E17" s="23"/>
      <c r="F17" s="23"/>
      <c r="G17" s="23"/>
      <c r="H17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0</v>
      </c>
    </row>
    <row r="18" spans="2:8" ht="30" customHeight="1" x14ac:dyDescent="0.4">
      <c r="B18" s="2"/>
      <c r="C18" s="2"/>
      <c r="D18" s="23"/>
      <c r="E18" s="23"/>
      <c r="F18" s="23"/>
      <c r="G18" s="23"/>
      <c r="H18" s="3">
        <f>IFERROR(IF(COUNT(Table_Timesheet[[#This Row],[Time in]:[Time out]])=4,(IF(Table_Timesheet[[#This Row],[Time out]]&lt;Table_Timesheet[[#This Row],[Time in]],1,0)+Table_Timesheet[[#This Row],[Time out]])-Table_Timesheet[[#This Row],[Lunch end]]+Table_Timesheet[[#This Row],[Lunch start]]-Table_Timesheet[[#This Row],[Time in]],IF(AND(LEN(Table_Timesheet[[#This Row],[Time in]])&lt;&gt;0,LEN(Table_Timesheet[[#This Row],[Time out]])&lt;&gt;0),(IF(Table_Timesheet[[#This Row],[Time out]]&lt;Table_Timesheet[[#This Row],[Time in]],1,0)+Table_Timesheet[[#This Row],[Time out]])-Table_Timesheet[[#This Row],[Time in]],0))*24,0)</f>
        <v>0</v>
      </c>
    </row>
  </sheetData>
  <dataValidations count="20">
    <dataValidation allowBlank="1" showInputMessage="1" showErrorMessage="1" promptTitle="Timesheet template" prompt="Use this worksheet to track hours worked in a week. Enter Total work week hours. Enter Date and Times in TimeSheet table which starts in cell B12. _x000a__x000a_Total hours worked, Regular hours and Overtime hours are automatically calculated." sqref="A1" xr:uid="{00000000-0002-0000-0000-000000000000}"/>
    <dataValidation allowBlank="1" showInputMessage="1" showErrorMessage="1" prompt="Enter Employee name in this cell" sqref="B3:C3" xr:uid="{00000000-0002-0000-0000-000001000000}"/>
    <dataValidation allowBlank="1" showInputMessage="1" showErrorMessage="1" prompt="Enter Employee phone number in this cell" sqref="B4:C4" xr:uid="{00000000-0002-0000-0000-000002000000}"/>
    <dataValidation allowBlank="1" showInputMessage="1" showErrorMessage="1" prompt="Enter Manager name in this cell" sqref="B6:C6" xr:uid="{00000000-0002-0000-0000-000003000000}"/>
    <dataValidation allowBlank="1" showInputMessage="1" showErrorMessage="1" prompt="Enter Manager’s phone number in this cell" sqref="B7:C7" xr:uid="{00000000-0002-0000-0000-000004000000}"/>
    <dataValidation allowBlank="1" showInputMessage="1" showErrorMessage="1" prompt="Enter Emplyee details in this section" sqref="B2:C2" xr:uid="{00000000-0002-0000-0000-000005000000}"/>
    <dataValidation allowBlank="1" showInputMessage="1" showErrorMessage="1" prompt="Enter Manager details in this section" sqref="B5:C5" xr:uid="{00000000-0002-0000-0000-000006000000}"/>
    <dataValidation allowBlank="1" showInputMessage="1" showErrorMessage="1" prompt="Enter Timesheet period in this section" sqref="B8:C8" xr:uid="{00000000-0002-0000-0000-000007000000}"/>
    <dataValidation allowBlank="1" showInputMessage="1" showErrorMessage="1" prompt="Enter Period start date in this cell" sqref="D9" xr:uid="{00000000-0002-0000-0000-000008000000}"/>
    <dataValidation allowBlank="1" showInputMessage="1" showErrorMessage="1" prompt="Enter Period end date in this cell" sqref="D10" xr:uid="{00000000-0002-0000-0000-000009000000}"/>
    <dataValidation allowBlank="1" showInputMessage="1" showErrorMessage="1" prompt="Enter Total work week hours in this cell" sqref="H3" xr:uid="{00000000-0002-0000-0000-00000A000000}"/>
    <dataValidation allowBlank="1" showInputMessage="1" showErrorMessage="1" prompt="Total hours worked is automatically calculated in this cell" sqref="H5" xr:uid="{00000000-0002-0000-0000-00000B000000}"/>
    <dataValidation allowBlank="1" showInputMessage="1" showErrorMessage="1" prompt="Regular hours is automatically calculated in this cell" sqref="H7" xr:uid="{00000000-0002-0000-0000-00000C000000}"/>
    <dataValidation allowBlank="1" showInputMessage="1" showErrorMessage="1" prompt="Overtime hours is automatically calculated in this cell" sqref="H9" xr:uid="{00000000-0002-0000-0000-00000D000000}"/>
    <dataValidation allowBlank="1" showInputMessage="1" showErrorMessage="1" prompt="Hours worked is automatically calculated in this column" sqref="H11" xr:uid="{00000000-0002-0000-0000-00000E000000}"/>
    <dataValidation allowBlank="1" showInputMessage="1" showErrorMessage="1" prompt="Enter Time out in this column" sqref="G11" xr:uid="{00000000-0002-0000-0000-00000F000000}"/>
    <dataValidation allowBlank="1" showInputMessage="1" showErrorMessage="1" prompt="Enter Lunch end time in this column" sqref="F11" xr:uid="{00000000-0002-0000-0000-000010000000}"/>
    <dataValidation allowBlank="1" showInputMessage="1" showErrorMessage="1" prompt="Enter Lunch start time in this column" sqref="E11" xr:uid="{00000000-0002-0000-0000-000011000000}"/>
    <dataValidation allowBlank="1" showInputMessage="1" showErrorMessage="1" prompt="Enter Time in in this column" sqref="D11" xr:uid="{00000000-0002-0000-0000-000012000000}"/>
    <dataValidation allowBlank="1" showInputMessage="1" showErrorMessage="1" prompt="Enter Date in this column" sqref="B11:C11" xr:uid="{00000000-0002-0000-0000-000013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7B34-90BB-484D-90FC-8EC28BA419F8}">
  <dimension ref="B1:J18"/>
  <sheetViews>
    <sheetView showGridLines="0" tabSelected="1" workbookViewId="0">
      <selection sqref="A1:XFD1048576"/>
    </sheetView>
  </sheetViews>
  <sheetFormatPr defaultColWidth="8.84375" defaultRowHeight="30" customHeight="1" x14ac:dyDescent="0.4"/>
  <cols>
    <col min="1" max="1" width="1.765625" style="1" customWidth="1"/>
    <col min="2" max="6" width="12.3046875" style="1" customWidth="1"/>
    <col min="7" max="7" width="15.3828125" style="1" customWidth="1"/>
    <col min="8" max="11" width="1.765625" style="1" customWidth="1"/>
    <col min="12" max="16384" width="8.84375" style="1"/>
  </cols>
  <sheetData>
    <row r="1" spans="2:10" ht="105" customHeight="1" x14ac:dyDescent="0.4">
      <c r="H1" s="1" t="s">
        <v>19</v>
      </c>
    </row>
    <row r="2" spans="2:10" customFormat="1" ht="48.75" customHeight="1" x14ac:dyDescent="0.4">
      <c r="B2" s="18" t="s">
        <v>40</v>
      </c>
      <c r="C2" s="6"/>
      <c r="D2" s="6"/>
      <c r="F2" s="6"/>
      <c r="G2" s="19" t="s">
        <v>14</v>
      </c>
    </row>
    <row r="3" spans="2:10" customFormat="1" ht="30" customHeight="1" x14ac:dyDescent="0.4">
      <c r="B3" s="11" t="s">
        <v>21</v>
      </c>
      <c r="G3" s="15">
        <v>10</v>
      </c>
      <c r="J3" t="s">
        <v>19</v>
      </c>
    </row>
    <row r="4" spans="2:10" customFormat="1" ht="30" customHeight="1" x14ac:dyDescent="0.4">
      <c r="B4" s="12" t="s">
        <v>0</v>
      </c>
      <c r="F4" s="20"/>
      <c r="G4" s="19" t="s">
        <v>15</v>
      </c>
    </row>
    <row r="5" spans="2:10" customFormat="1" ht="30" customHeight="1" x14ac:dyDescent="0.4">
      <c r="B5" s="18" t="s">
        <v>1</v>
      </c>
      <c r="D5" s="6"/>
      <c r="F5" s="7"/>
      <c r="G5" s="15">
        <f>SUM(Table_Timesheet5[Hours worked])</f>
        <v>0</v>
      </c>
    </row>
    <row r="6" spans="2:10" ht="30" customHeight="1" x14ac:dyDescent="0.35">
      <c r="B6" s="11" t="s">
        <v>2</v>
      </c>
      <c r="C6" s="9"/>
      <c r="F6" s="10"/>
      <c r="G6" s="19" t="s">
        <v>16</v>
      </c>
    </row>
    <row r="7" spans="2:10" s="4" customFormat="1" ht="30" customHeight="1" x14ac:dyDescent="0.4">
      <c r="B7" s="12" t="s">
        <v>3</v>
      </c>
      <c r="G7" s="15">
        <f>IF(TotalHoursWorked&lt;=WorkWeekHours,TotalHoursWorked,WorkWeekHours)</f>
        <v>0</v>
      </c>
    </row>
    <row r="8" spans="2:10" ht="30" customHeight="1" x14ac:dyDescent="0.35">
      <c r="B8" s="18" t="s">
        <v>4</v>
      </c>
      <c r="C8" s="8"/>
      <c r="D8" s="6"/>
      <c r="F8" s="5"/>
      <c r="G8" s="19" t="s">
        <v>17</v>
      </c>
    </row>
    <row r="9" spans="2:10" ht="30" customHeight="1" x14ac:dyDescent="0.35">
      <c r="B9" s="16" t="s">
        <v>5</v>
      </c>
      <c r="C9" s="13" t="s">
        <v>8</v>
      </c>
      <c r="E9" s="7"/>
      <c r="F9" s="7"/>
      <c r="G9" s="15">
        <f>TotalHoursWorked-RegularHours</f>
        <v>0</v>
      </c>
    </row>
    <row r="10" spans="2:10" ht="48" customHeight="1" x14ac:dyDescent="0.45">
      <c r="B10" s="17" t="s">
        <v>6</v>
      </c>
      <c r="C10" s="14" t="s">
        <v>9</v>
      </c>
      <c r="E10" s="7"/>
      <c r="F10" s="7"/>
      <c r="G10" s="22"/>
    </row>
    <row r="11" spans="2:10" ht="30" customHeight="1" x14ac:dyDescent="0.4">
      <c r="B11" s="21" t="s">
        <v>7</v>
      </c>
      <c r="C11" s="21" t="s">
        <v>10</v>
      </c>
      <c r="D11" s="21" t="s">
        <v>11</v>
      </c>
      <c r="E11" s="21" t="s">
        <v>12</v>
      </c>
      <c r="F11" s="21" t="s">
        <v>13</v>
      </c>
      <c r="G11" s="21" t="s">
        <v>18</v>
      </c>
    </row>
    <row r="12" spans="2:10" ht="30" customHeight="1" x14ac:dyDescent="0.4">
      <c r="B12" s="2">
        <v>45082</v>
      </c>
      <c r="C12" s="23">
        <v>0</v>
      </c>
      <c r="D12" s="23">
        <v>0</v>
      </c>
      <c r="E12" s="23">
        <v>0</v>
      </c>
      <c r="F12" s="23">
        <v>0</v>
      </c>
      <c r="G12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  <row r="13" spans="2:10" ht="30" customHeight="1" x14ac:dyDescent="0.4">
      <c r="B13" s="2">
        <v>45085</v>
      </c>
      <c r="C13" s="23">
        <v>0</v>
      </c>
      <c r="D13" s="23"/>
      <c r="E13" s="23"/>
      <c r="F13" s="23">
        <v>0</v>
      </c>
      <c r="G13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  <row r="14" spans="2:10" ht="30" customHeight="1" x14ac:dyDescent="0.4">
      <c r="B14" s="2"/>
      <c r="C14" s="23">
        <v>0</v>
      </c>
      <c r="D14" s="23"/>
      <c r="E14" s="23"/>
      <c r="F14" s="23">
        <v>0</v>
      </c>
      <c r="G14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  <row r="15" spans="2:10" ht="30" customHeight="1" x14ac:dyDescent="0.4">
      <c r="B15" s="2"/>
      <c r="C15" s="23"/>
      <c r="D15" s="23"/>
      <c r="E15" s="23"/>
      <c r="F15" s="23"/>
      <c r="G15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  <row r="16" spans="2:10" ht="30" customHeight="1" x14ac:dyDescent="0.4">
      <c r="B16" s="2"/>
      <c r="C16" s="23"/>
      <c r="D16" s="23"/>
      <c r="E16" s="23"/>
      <c r="F16" s="23"/>
      <c r="G16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  <row r="17" spans="2:7" ht="30" customHeight="1" x14ac:dyDescent="0.4">
      <c r="B17" s="2"/>
      <c r="C17" s="23"/>
      <c r="D17" s="23"/>
      <c r="E17" s="23"/>
      <c r="F17" s="23"/>
      <c r="G17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  <row r="18" spans="2:7" ht="30" customHeight="1" x14ac:dyDescent="0.4">
      <c r="B18" s="2"/>
      <c r="C18" s="23"/>
      <c r="D18" s="23"/>
      <c r="E18" s="23"/>
      <c r="F18" s="23"/>
      <c r="G18" s="3">
        <f>IFERROR(IF(COUNT(Table_Timesheet5[[#This Row],[Time in]:[Time out]])=4,(IF(Table_Timesheet5[[#This Row],[Time out]]&lt;Table_Timesheet5[[#This Row],[Time in]],1,0)+Table_Timesheet5[[#This Row],[Time out]])-Table_Timesheet5[[#This Row],[Lunch end]]+Table_Timesheet5[[#This Row],[Lunch start]]-Table_Timesheet5[[#This Row],[Time in]],IF(AND(LEN(Table_Timesheet5[[#This Row],[Time in]])&lt;&gt;0,LEN(Table_Timesheet5[[#This Row],[Time out]])&lt;&gt;0),(IF(Table_Timesheet5[[#This Row],[Time out]]&lt;Table_Timesheet5[[#This Row],[Time in]],1,0)+Table_Timesheet5[[#This Row],[Time out]])-Table_Timesheet5[[#This Row],[Time in]],0))*24,0)</f>
        <v>0</v>
      </c>
    </row>
  </sheetData>
  <dataValidations count="20">
    <dataValidation allowBlank="1" showInputMessage="1" showErrorMessage="1" prompt="Enter Date in this column" sqref="B11" xr:uid="{943F4DF9-483B-4622-9D9A-0CE279A27586}"/>
    <dataValidation allowBlank="1" showInputMessage="1" showErrorMessage="1" prompt="Enter Time in in this column" sqref="C11" xr:uid="{1DAAA18F-452F-4313-A2F9-DA9C2C5C5E9B}"/>
    <dataValidation allowBlank="1" showInputMessage="1" showErrorMessage="1" prompt="Enter Lunch start time in this column" sqref="D11" xr:uid="{2244A3FE-CCCC-4FF8-89E3-5D4136FE52F1}"/>
    <dataValidation allowBlank="1" showInputMessage="1" showErrorMessage="1" prompt="Enter Lunch end time in this column" sqref="E11" xr:uid="{CA452788-6C45-4170-AE2C-5A9190E961B8}"/>
    <dataValidation allowBlank="1" showInputMessage="1" showErrorMessage="1" prompt="Enter Time out in this column" sqref="F11" xr:uid="{08D41F10-0A7D-4AE3-B2A7-4EEC377AECEF}"/>
    <dataValidation allowBlank="1" showInputMessage="1" showErrorMessage="1" prompt="Hours worked is automatically calculated in this column" sqref="G11" xr:uid="{41E50869-BB93-48D3-BC13-61A93891C6DD}"/>
    <dataValidation allowBlank="1" showInputMessage="1" showErrorMessage="1" prompt="Overtime hours is automatically calculated in this cell" sqref="G9" xr:uid="{A572D5E0-39E7-4331-81DD-7280869C5F4D}"/>
    <dataValidation allowBlank="1" showInputMessage="1" showErrorMessage="1" prompt="Regular hours is automatically calculated in this cell" sqref="G7" xr:uid="{C61590C5-29FA-47F0-93FD-EFE94852C78D}"/>
    <dataValidation allowBlank="1" showInputMessage="1" showErrorMessage="1" prompt="Total hours worked is automatically calculated in this cell" sqref="G5" xr:uid="{2C8015D4-403B-4610-9715-DF15244221DE}"/>
    <dataValidation allowBlank="1" showInputMessage="1" showErrorMessage="1" prompt="Enter Total work week hours in this cell" sqref="G3" xr:uid="{5C66F27E-BCFF-4C5D-AAE4-5020E7F640D5}"/>
    <dataValidation allowBlank="1" showInputMessage="1" showErrorMessage="1" prompt="Enter Period end date in this cell" sqref="C10" xr:uid="{858A50CF-12FD-41BF-A081-A00EDBEFC332}"/>
    <dataValidation allowBlank="1" showInputMessage="1" showErrorMessage="1" prompt="Enter Period start date in this cell" sqref="C9" xr:uid="{E140427B-D2EC-4B21-AC49-FAFD6752B36E}"/>
    <dataValidation allowBlank="1" showInputMessage="1" showErrorMessage="1" prompt="Enter Timesheet period in this section" sqref="B8" xr:uid="{44C68598-8B59-4386-955D-1D132F0C7EFD}"/>
    <dataValidation allowBlank="1" showInputMessage="1" showErrorMessage="1" prompt="Enter Manager details in this section" sqref="B5" xr:uid="{CDB54C44-ACB5-4FBC-BB8D-7A0EB31B3A61}"/>
    <dataValidation allowBlank="1" showInputMessage="1" showErrorMessage="1" prompt="Enter Emplyee details in this section" sqref="B2" xr:uid="{9BF69166-F30D-4418-BAA7-CA82BDFB455E}"/>
    <dataValidation allowBlank="1" showInputMessage="1" showErrorMessage="1" prompt="Enter Manager’s phone number in this cell" sqref="B7" xr:uid="{354069B3-4D9E-4DDA-B56E-7522FAFB1EB7}"/>
    <dataValidation allowBlank="1" showInputMessage="1" showErrorMessage="1" prompt="Enter Manager name in this cell" sqref="B6" xr:uid="{A0092E38-0C25-448F-9551-D9E491DEDA0A}"/>
    <dataValidation allowBlank="1" showInputMessage="1" showErrorMessage="1" prompt="Enter Employee phone number in this cell" sqref="B4" xr:uid="{D54F6158-1CDB-484E-B0DA-7E5B84B26062}"/>
    <dataValidation allowBlank="1" showInputMessage="1" showErrorMessage="1" prompt="Enter Employee name in this cell" sqref="B3" xr:uid="{7E8CA7BC-CAE1-4727-9FCD-33C1E582D270}"/>
    <dataValidation allowBlank="1" showInputMessage="1" showErrorMessage="1" promptTitle="Timesheet template" prompt="Use this worksheet to track hours worked in a week. Enter Total work week hours. Enter Date and Times in TimeSheet table which starts in cell B12. _x000a__x000a_Total hours worked, Regular hours and Overtime hours are automatically calculated." sqref="A1" xr:uid="{71E5D19B-C2FD-42C7-A2D2-5527E88B964C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558B-88E8-4FAB-80FF-97D5712BE0BA}">
  <dimension ref="B1:L18"/>
  <sheetViews>
    <sheetView showGridLines="0" workbookViewId="0">
      <selection activeCell="P2" sqref="P2"/>
    </sheetView>
  </sheetViews>
  <sheetFormatPr defaultColWidth="8.84375" defaultRowHeight="30" customHeight="1" x14ac:dyDescent="0.4"/>
  <cols>
    <col min="1" max="1" width="1.765625" style="1" customWidth="1"/>
    <col min="2" max="6" width="12.3046875" style="1" customWidth="1"/>
    <col min="7" max="7" width="15.3828125" style="1" customWidth="1"/>
    <col min="8" max="11" width="1.765625" style="1" customWidth="1"/>
    <col min="12" max="16384" width="8.84375" style="1"/>
  </cols>
  <sheetData>
    <row r="1" spans="2:12" ht="105" customHeight="1" x14ac:dyDescent="0.4">
      <c r="H1" s="1" t="s">
        <v>19</v>
      </c>
    </row>
    <row r="2" spans="2:12" customFormat="1" ht="48.75" customHeight="1" x14ac:dyDescent="0.4">
      <c r="B2" s="18" t="s">
        <v>20</v>
      </c>
      <c r="C2" s="6"/>
      <c r="D2" s="6"/>
      <c r="F2" s="6"/>
      <c r="G2" s="19" t="s">
        <v>14</v>
      </c>
      <c r="L2" t="s">
        <v>22</v>
      </c>
    </row>
    <row r="3" spans="2:12" customFormat="1" ht="30" customHeight="1" x14ac:dyDescent="0.4">
      <c r="B3" s="11" t="s">
        <v>21</v>
      </c>
      <c r="G3" s="15">
        <v>25</v>
      </c>
    </row>
    <row r="4" spans="2:12" customFormat="1" ht="30" customHeight="1" x14ac:dyDescent="0.4">
      <c r="B4" s="12" t="s">
        <v>0</v>
      </c>
      <c r="F4" s="20"/>
      <c r="G4" s="19" t="s">
        <v>15</v>
      </c>
    </row>
    <row r="5" spans="2:12" customFormat="1" ht="30" customHeight="1" x14ac:dyDescent="0.4">
      <c r="B5" s="18" t="s">
        <v>1</v>
      </c>
      <c r="D5" s="6"/>
      <c r="F5" s="7"/>
      <c r="G5" s="15">
        <f>SUM(Table_Timesheet2[Hours worked])</f>
        <v>3.9166666666666661</v>
      </c>
    </row>
    <row r="6" spans="2:12" ht="30" customHeight="1" x14ac:dyDescent="0.35">
      <c r="B6" s="11" t="s">
        <v>2</v>
      </c>
      <c r="C6" s="9"/>
      <c r="F6" s="10"/>
      <c r="G6" s="19" t="s">
        <v>16</v>
      </c>
    </row>
    <row r="7" spans="2:12" s="4" customFormat="1" ht="30" customHeight="1" x14ac:dyDescent="0.4">
      <c r="B7" s="12" t="s">
        <v>3</v>
      </c>
      <c r="G7" s="15">
        <f>IF(TotalHoursWorked&lt;=WorkWeekHours,TotalHoursWorked,WorkWeekHours)</f>
        <v>3.9166666666666661</v>
      </c>
    </row>
    <row r="8" spans="2:12" ht="30" customHeight="1" x14ac:dyDescent="0.35">
      <c r="B8" s="18" t="s">
        <v>4</v>
      </c>
      <c r="C8" s="8"/>
      <c r="D8" s="6"/>
      <c r="F8" s="5"/>
      <c r="G8" s="19" t="s">
        <v>17</v>
      </c>
    </row>
    <row r="9" spans="2:12" ht="30" customHeight="1" x14ac:dyDescent="0.35">
      <c r="B9" s="16" t="s">
        <v>5</v>
      </c>
      <c r="C9" s="13" t="s">
        <v>8</v>
      </c>
      <c r="E9" s="7"/>
      <c r="F9" s="7"/>
      <c r="G9" s="15">
        <f>TotalHoursWorked-RegularHours</f>
        <v>0</v>
      </c>
    </row>
    <row r="10" spans="2:12" ht="48" customHeight="1" x14ac:dyDescent="0.45">
      <c r="B10" s="17" t="s">
        <v>6</v>
      </c>
      <c r="C10" s="14" t="s">
        <v>9</v>
      </c>
      <c r="E10" s="7"/>
      <c r="F10" s="7"/>
      <c r="G10" s="22"/>
    </row>
    <row r="11" spans="2:12" ht="30" customHeight="1" x14ac:dyDescent="0.4">
      <c r="B11" s="21" t="s">
        <v>7</v>
      </c>
      <c r="C11" s="21" t="s">
        <v>10</v>
      </c>
      <c r="D11" s="21" t="s">
        <v>11</v>
      </c>
      <c r="E11" s="21" t="s">
        <v>12</v>
      </c>
      <c r="F11" s="21" t="s">
        <v>13</v>
      </c>
      <c r="G11" s="21" t="s">
        <v>18</v>
      </c>
    </row>
    <row r="12" spans="2:12" ht="30" customHeight="1" x14ac:dyDescent="0.4">
      <c r="B12" s="2">
        <v>45082</v>
      </c>
      <c r="C12" s="23">
        <v>0.8125</v>
      </c>
      <c r="D12" s="23">
        <v>0</v>
      </c>
      <c r="E12" s="23">
        <v>0</v>
      </c>
      <c r="F12" s="23">
        <v>0.92708333333333337</v>
      </c>
      <c r="G12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2.7500000000000009</v>
      </c>
    </row>
    <row r="13" spans="2:12" ht="30" customHeight="1" x14ac:dyDescent="0.4">
      <c r="B13" s="2">
        <v>45085</v>
      </c>
      <c r="C13" s="23">
        <v>0.63888888888888895</v>
      </c>
      <c r="D13" s="23"/>
      <c r="E13" s="23"/>
      <c r="F13" s="23">
        <v>0.6875</v>
      </c>
      <c r="G13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1.1666666666666652</v>
      </c>
    </row>
    <row r="14" spans="2:12" ht="30" customHeight="1" x14ac:dyDescent="0.4">
      <c r="B14" s="2"/>
      <c r="C14" s="23">
        <v>0</v>
      </c>
      <c r="D14" s="23"/>
      <c r="E14" s="23"/>
      <c r="F14" s="23">
        <v>0</v>
      </c>
      <c r="G14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0</v>
      </c>
    </row>
    <row r="15" spans="2:12" ht="30" customHeight="1" x14ac:dyDescent="0.4">
      <c r="B15" s="2"/>
      <c r="C15" s="23"/>
      <c r="D15" s="23"/>
      <c r="E15" s="23"/>
      <c r="F15" s="23"/>
      <c r="G15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0</v>
      </c>
    </row>
    <row r="16" spans="2:12" ht="30" customHeight="1" x14ac:dyDescent="0.4">
      <c r="B16" s="2"/>
      <c r="C16" s="23"/>
      <c r="D16" s="23"/>
      <c r="E16" s="23"/>
      <c r="F16" s="23"/>
      <c r="G16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0</v>
      </c>
    </row>
    <row r="17" spans="2:7" ht="30" customHeight="1" x14ac:dyDescent="0.4">
      <c r="B17" s="2"/>
      <c r="C17" s="23"/>
      <c r="D17" s="23"/>
      <c r="E17" s="23"/>
      <c r="F17" s="23"/>
      <c r="G17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0</v>
      </c>
    </row>
    <row r="18" spans="2:7" ht="30" customHeight="1" x14ac:dyDescent="0.4">
      <c r="B18" s="2"/>
      <c r="C18" s="23"/>
      <c r="D18" s="23"/>
      <c r="E18" s="23"/>
      <c r="F18" s="23"/>
      <c r="G18" s="3">
        <f>IFERROR(IF(COUNT(Table_Timesheet2[[#This Row],[Time in]:[Time out]])=4,(IF(Table_Timesheet2[[#This Row],[Time out]]&lt;Table_Timesheet2[[#This Row],[Time in]],1,0)+Table_Timesheet2[[#This Row],[Time out]])-Table_Timesheet2[[#This Row],[Lunch end]]+Table_Timesheet2[[#This Row],[Lunch start]]-Table_Timesheet2[[#This Row],[Time in]],IF(AND(LEN(Table_Timesheet2[[#This Row],[Time in]])&lt;&gt;0,LEN(Table_Timesheet2[[#This Row],[Time out]])&lt;&gt;0),(IF(Table_Timesheet2[[#This Row],[Time out]]&lt;Table_Timesheet2[[#This Row],[Time in]],1,0)+Table_Timesheet2[[#This Row],[Time out]])-Table_Timesheet2[[#This Row],[Time in]],0))*24,0)</f>
        <v>0</v>
      </c>
    </row>
  </sheetData>
  <dataValidations count="20">
    <dataValidation allowBlank="1" showInputMessage="1" showErrorMessage="1" prompt="Enter Date in this column" sqref="B11" xr:uid="{7B86CAC4-FDA9-4DCF-9C30-BC0B4DC109C6}"/>
    <dataValidation allowBlank="1" showInputMessage="1" showErrorMessage="1" prompt="Enter Time in in this column" sqref="C11" xr:uid="{D373A5A3-6CEB-423F-8CFD-96902BB7ECEC}"/>
    <dataValidation allowBlank="1" showInputMessage="1" showErrorMessage="1" prompt="Enter Lunch start time in this column" sqref="D11" xr:uid="{551EE0C1-29CF-4A7B-814C-B5FAC969183C}"/>
    <dataValidation allowBlank="1" showInputMessage="1" showErrorMessage="1" prompt="Enter Lunch end time in this column" sqref="E11" xr:uid="{B12F980F-9F33-4C76-8A49-51C39D434AEA}"/>
    <dataValidation allowBlank="1" showInputMessage="1" showErrorMessage="1" prompt="Enter Time out in this column" sqref="F11" xr:uid="{E99398E1-7081-405F-B52F-072280B534D6}"/>
    <dataValidation allowBlank="1" showInputMessage="1" showErrorMessage="1" prompt="Hours worked is automatically calculated in this column" sqref="G11" xr:uid="{52B0973C-B2D6-482D-8A3C-2D1226F6F728}"/>
    <dataValidation allowBlank="1" showInputMessage="1" showErrorMessage="1" prompt="Overtime hours is automatically calculated in this cell" sqref="G9" xr:uid="{0EC2CD61-8E63-4A30-BFA2-8370CFA60821}"/>
    <dataValidation allowBlank="1" showInputMessage="1" showErrorMessage="1" prompt="Regular hours is automatically calculated in this cell" sqref="G7" xr:uid="{B1096EDE-EA41-4E0F-82DB-1E15F6293E47}"/>
    <dataValidation allowBlank="1" showInputMessage="1" showErrorMessage="1" prompt="Total hours worked is automatically calculated in this cell" sqref="G5" xr:uid="{4713469C-5872-4D3E-A96D-656244FF8345}"/>
    <dataValidation allowBlank="1" showInputMessage="1" showErrorMessage="1" prompt="Enter Total work week hours in this cell" sqref="G3" xr:uid="{9634AC0D-7A4B-4603-9A38-1B2336775AC1}"/>
    <dataValidation allowBlank="1" showInputMessage="1" showErrorMessage="1" prompt="Enter Period end date in this cell" sqref="C10" xr:uid="{B0B5B72E-3B82-4D5B-9D11-6DF28A220CAF}"/>
    <dataValidation allowBlank="1" showInputMessage="1" showErrorMessage="1" prompt="Enter Period start date in this cell" sqref="C9" xr:uid="{EDB4CD61-5022-4A7F-8ABE-C3EB414FE114}"/>
    <dataValidation allowBlank="1" showInputMessage="1" showErrorMessage="1" prompt="Enter Timesheet period in this section" sqref="B8" xr:uid="{EDAB251E-B425-4445-9312-70077BB9DDD6}"/>
    <dataValidation allowBlank="1" showInputMessage="1" showErrorMessage="1" prompt="Enter Manager details in this section" sqref="B5" xr:uid="{36DAAB4D-FA5F-4704-80D1-F3508EB6519F}"/>
    <dataValidation allowBlank="1" showInputMessage="1" showErrorMessage="1" prompt="Enter Emplyee details in this section" sqref="B2" xr:uid="{77B49839-E961-4F8F-AD7E-98EABF097588}"/>
    <dataValidation allowBlank="1" showInputMessage="1" showErrorMessage="1" prompt="Enter Manager’s phone number in this cell" sqref="B7" xr:uid="{AED33B24-9873-4C35-8258-CBB94BB4FC6F}"/>
    <dataValidation allowBlank="1" showInputMessage="1" showErrorMessage="1" prompt="Enter Manager name in this cell" sqref="B6" xr:uid="{8C83F3AC-762B-41EE-93BD-2F8C316AE934}"/>
    <dataValidation allowBlank="1" showInputMessage="1" showErrorMessage="1" prompt="Enter Employee phone number in this cell" sqref="B4" xr:uid="{47CE3E52-116D-4F8C-9071-2B213079BD82}"/>
    <dataValidation allowBlank="1" showInputMessage="1" showErrorMessage="1" prompt="Enter Employee name in this cell" sqref="B3" xr:uid="{E43BBE45-E08A-4130-8BF4-F24A76D3C1D7}"/>
    <dataValidation allowBlank="1" showInputMessage="1" showErrorMessage="1" promptTitle="Timesheet template" prompt="Use this worksheet to track hours worked in a week. Enter Total work week hours. Enter Date and Times in TimeSheet table which starts in cell B12. _x000a__x000a_Total hours worked, Regular hours and Overtime hours are automatically calculated." sqref="A1" xr:uid="{813BD2F1-2193-4474-B02C-54DD4A685FA1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EBBC-3D95-4DFB-B922-0A1A29EB25E6}">
  <dimension ref="A1:J18"/>
  <sheetViews>
    <sheetView workbookViewId="0">
      <selection activeCell="E19" sqref="E19"/>
    </sheetView>
  </sheetViews>
  <sheetFormatPr defaultColWidth="8.3046875" defaultRowHeight="15" x14ac:dyDescent="0.4"/>
  <cols>
    <col min="1" max="1" width="2.3828125" style="25" customWidth="1"/>
    <col min="2" max="2" width="15.3046875" style="25" customWidth="1"/>
    <col min="3" max="3" width="24.15234375" style="25" customWidth="1"/>
    <col min="4" max="4" width="14.3828125" style="25" customWidth="1"/>
    <col min="5" max="5" width="13.61328125" style="25" bestFit="1" customWidth="1"/>
    <col min="6" max="6" width="19.84375" style="25" customWidth="1"/>
    <col min="7" max="7" width="17.61328125" style="25" customWidth="1"/>
    <col min="8" max="8" width="11.07421875" style="25" customWidth="1"/>
    <col min="9" max="9" width="8.53515625" style="25" bestFit="1" customWidth="1"/>
    <col min="10" max="10" width="10.4609375" style="25" customWidth="1"/>
    <col min="11" max="16384" width="8.3046875" style="25"/>
  </cols>
  <sheetData>
    <row r="1" spans="1:10" ht="24" thickBot="1" x14ac:dyDescent="0.6">
      <c r="A1" s="24"/>
      <c r="B1" s="55"/>
      <c r="C1" s="55"/>
      <c r="D1" s="55"/>
      <c r="E1" s="55"/>
      <c r="F1" s="56"/>
      <c r="G1" s="56"/>
    </row>
    <row r="2" spans="1:10" ht="15.5" thickTop="1" x14ac:dyDescent="0.4">
      <c r="B2" s="54"/>
      <c r="C2" s="54"/>
      <c r="D2" s="54"/>
      <c r="E2" s="54"/>
    </row>
    <row r="3" spans="1:10" ht="15.5" thickBot="1" x14ac:dyDescent="0.45">
      <c r="B3" s="53" t="s">
        <v>23</v>
      </c>
      <c r="C3" s="53"/>
      <c r="D3" s="26" t="s">
        <v>24</v>
      </c>
      <c r="E3" s="26"/>
      <c r="F3" s="26"/>
      <c r="G3" s="26"/>
    </row>
    <row r="4" spans="1:10" x14ac:dyDescent="0.4">
      <c r="B4" s="49" t="s">
        <v>46</v>
      </c>
      <c r="C4" s="27" t="s">
        <v>44</v>
      </c>
      <c r="D4" s="27" t="s">
        <v>45</v>
      </c>
      <c r="E4" s="27" t="s">
        <v>47</v>
      </c>
      <c r="F4" s="27"/>
      <c r="G4" s="27"/>
    </row>
    <row r="5" spans="1:10" x14ac:dyDescent="0.4">
      <c r="B5" s="28">
        <v>6</v>
      </c>
      <c r="C5" s="46">
        <v>22</v>
      </c>
      <c r="D5" s="47"/>
      <c r="E5" s="50">
        <f>IFERROR(IF(B5,B5*C5,""), "")</f>
        <v>132</v>
      </c>
      <c r="F5" s="48"/>
      <c r="G5" s="48"/>
    </row>
    <row r="6" spans="1:10" ht="28" customHeight="1" x14ac:dyDescent="0.4"/>
    <row r="7" spans="1:10" x14ac:dyDescent="0.4">
      <c r="B7" s="43" t="s">
        <v>18</v>
      </c>
      <c r="C7" s="43" t="s">
        <v>25</v>
      </c>
      <c r="D7" s="44" t="s">
        <v>19</v>
      </c>
      <c r="E7" s="43" t="s">
        <v>33</v>
      </c>
      <c r="F7" s="43" t="s">
        <v>26</v>
      </c>
      <c r="G7" s="43" t="s">
        <v>39</v>
      </c>
      <c r="H7" s="45" t="s">
        <v>36</v>
      </c>
      <c r="I7" s="45" t="s">
        <v>38</v>
      </c>
      <c r="J7" s="45" t="s">
        <v>37</v>
      </c>
    </row>
    <row r="8" spans="1:10" x14ac:dyDescent="0.4">
      <c r="B8" s="29">
        <v>6</v>
      </c>
      <c r="C8" s="25" t="s">
        <v>27</v>
      </c>
      <c r="D8" s="30"/>
      <c r="E8" s="31">
        <v>22</v>
      </c>
      <c r="F8" s="32" t="s">
        <v>35</v>
      </c>
      <c r="G8" s="31">
        <f>IFERROR(IF(B8,B8*E8,""), "")</f>
        <v>132</v>
      </c>
      <c r="H8" s="40">
        <v>0.23</v>
      </c>
      <c r="I8" s="41">
        <f t="shared" ref="I8:I12" si="0">IFERROR(H8*SUMIF(F8,"T",G8), "")</f>
        <v>30.360000000000003</v>
      </c>
      <c r="J8" s="41">
        <f t="shared" ref="J8:J12" si="1">SUM(G8+I8)</f>
        <v>162.36000000000001</v>
      </c>
    </row>
    <row r="9" spans="1:10" x14ac:dyDescent="0.4">
      <c r="B9" s="33">
        <v>0.2</v>
      </c>
      <c r="D9" s="30"/>
      <c r="E9" s="31">
        <v>20</v>
      </c>
      <c r="F9" s="32"/>
      <c r="G9" s="31">
        <f t="shared" ref="G9:G10" si="2">IFERROR(IF(B9,B9*E9,""), "")</f>
        <v>4</v>
      </c>
      <c r="H9" s="40"/>
      <c r="I9" s="41">
        <f t="shared" si="0"/>
        <v>0</v>
      </c>
      <c r="J9" s="41">
        <f t="shared" si="1"/>
        <v>4</v>
      </c>
    </row>
    <row r="10" spans="1:10" x14ac:dyDescent="0.4">
      <c r="B10" s="29">
        <f>TotalHoursWorked</f>
        <v>3.9166666666666661</v>
      </c>
      <c r="C10" s="25" t="s">
        <v>34</v>
      </c>
      <c r="D10" s="30"/>
      <c r="E10" s="31">
        <v>23</v>
      </c>
      <c r="F10" s="32" t="s">
        <v>35</v>
      </c>
      <c r="G10" s="31">
        <f t="shared" si="2"/>
        <v>90.083333333333314</v>
      </c>
      <c r="H10" s="40">
        <v>0.2</v>
      </c>
      <c r="I10" s="41">
        <f>IFERROR(H10*SUMIF(F10,"T",G10), "")</f>
        <v>18.016666666666662</v>
      </c>
      <c r="J10" s="41">
        <f t="shared" si="1"/>
        <v>108.09999999999998</v>
      </c>
    </row>
    <row r="11" spans="1:10" x14ac:dyDescent="0.4">
      <c r="B11" s="29"/>
      <c r="D11" s="30"/>
      <c r="E11" s="31"/>
      <c r="F11" s="32"/>
      <c r="G11" s="31">
        <v>0</v>
      </c>
      <c r="H11" s="40"/>
      <c r="I11" s="41">
        <f t="shared" si="0"/>
        <v>0</v>
      </c>
      <c r="J11" s="41">
        <f t="shared" si="1"/>
        <v>0</v>
      </c>
    </row>
    <row r="12" spans="1:10" x14ac:dyDescent="0.4">
      <c r="B12" s="29"/>
      <c r="D12" s="30"/>
      <c r="E12" s="31"/>
      <c r="F12" s="32"/>
      <c r="G12" s="31">
        <v>0</v>
      </c>
      <c r="H12" s="40"/>
      <c r="I12" s="41">
        <f t="shared" si="0"/>
        <v>0</v>
      </c>
      <c r="J12" s="41">
        <f t="shared" si="1"/>
        <v>0</v>
      </c>
    </row>
    <row r="13" spans="1:10" x14ac:dyDescent="0.4">
      <c r="F13" s="34" t="s">
        <v>28</v>
      </c>
      <c r="G13" s="35">
        <f>SUBTOTAL(109,Quotation[Cost])</f>
        <v>226.08333333333331</v>
      </c>
    </row>
    <row r="14" spans="1:10" ht="15.5" thickBot="1" x14ac:dyDescent="0.45">
      <c r="F14" s="36" t="s">
        <v>29</v>
      </c>
      <c r="G14" s="37">
        <v>0.2</v>
      </c>
    </row>
    <row r="15" spans="1:10" ht="16" thickTop="1" thickBot="1" x14ac:dyDescent="0.45">
      <c r="F15" s="36" t="s">
        <v>30</v>
      </c>
      <c r="G15" s="51">
        <f>IFERROR(G14*SUMIF(F8:F12,"T",G8:G12), "")</f>
        <v>44.416666666666664</v>
      </c>
      <c r="I15" s="25" t="s">
        <v>19</v>
      </c>
    </row>
    <row r="16" spans="1:10" ht="16" thickTop="1" thickBot="1" x14ac:dyDescent="0.45">
      <c r="F16" s="36" t="s">
        <v>31</v>
      </c>
      <c r="G16" s="38">
        <v>0</v>
      </c>
    </row>
    <row r="17" spans="2:7" ht="16" thickTop="1" thickBot="1" x14ac:dyDescent="0.45">
      <c r="F17" s="36" t="s">
        <v>32</v>
      </c>
      <c r="G17" s="52">
        <f>IFERROR(Quotation[[#Totals],[Cost]]+G15+G16, "")</f>
        <v>270.5</v>
      </c>
    </row>
    <row r="18" spans="2:7" ht="15.5" thickTop="1" x14ac:dyDescent="0.4">
      <c r="B18" s="39"/>
      <c r="C18" s="39"/>
      <c r="D18" s="39"/>
      <c r="E18" s="39"/>
      <c r="F18" s="39"/>
      <c r="G18" s="39"/>
    </row>
  </sheetData>
  <mergeCells count="4">
    <mergeCell ref="B3:C3"/>
    <mergeCell ref="B2:E2"/>
    <mergeCell ref="B1:E1"/>
    <mergeCell ref="F1:G1"/>
  </mergeCells>
  <dataValidations xWindow="178" yWindow="692" count="33">
    <dataValidation allowBlank="1" showInputMessage="1" showErrorMessage="1" prompt="Title of this worksheet is in this cell. Enter Date, Quotation Number, and Customer ID in cells G2 through G5" sqref="F1:G1" xr:uid="{C08E9118-E028-427F-8D97-6BB37199BD9B}"/>
    <dataValidation allowBlank="1" showInputMessage="1" showErrorMessage="1" prompt="Enter Tax Rate in this cell" sqref="G14" xr:uid="{5CD40876-940F-48DF-A621-72850DBD859E}"/>
    <dataValidation allowBlank="1" showInputMessage="1" showErrorMessage="1" prompt="Enter Tax Rate in cell at right" sqref="F14" xr:uid="{AC8528BE-697F-407B-BFC6-A74C034418AA}"/>
    <dataValidation allowBlank="1" showInputMessage="1" showErrorMessage="1" prompt="Sales Tax amount is automatically calculated in this cell" sqref="G15" xr:uid="{2BE68241-0B46-4BA8-99ED-FB412E42C194}"/>
    <dataValidation allowBlank="1" showInputMessage="1" showErrorMessage="1" prompt="Sales Tax amount is automatically calculated in cell at right" sqref="F15" xr:uid="{FAD35821-F54C-4AE4-B53D-C031DC11FF65}"/>
    <dataValidation allowBlank="1" showInputMessage="1" showErrorMessage="1" prompt="Enter Other amount in this cell" sqref="G16" xr:uid="{C513F9CC-AA94-4DF2-BBCB-7BBA225032B8}"/>
    <dataValidation allowBlank="1" showInputMessage="1" showErrorMessage="1" prompt="Enter Other amount in cell at right" sqref="F16" xr:uid="{0624DF42-E6B1-473A-AAAD-B45221EDFD70}"/>
    <dataValidation allowBlank="1" showInputMessage="1" showErrorMessage="1" prompt="Total due is automatically calculated in this cell" sqref="G17" xr:uid="{471F4249-0AD7-4342-8173-1B7E5223EC13}"/>
    <dataValidation allowBlank="1" showInputMessage="1" showErrorMessage="1" prompt="Total due is automatically calculated in cell at right" sqref="F17" xr:uid="{DFF31875-14BF-44AD-8E6E-AD3CAB589EBF}"/>
    <dataValidation allowBlank="1" showInputMessage="1" showErrorMessage="1" prompt="Create a Price quote with tax calculation in this worksheet. Enter company, customer, quotation, shipping, and product details. Total due is automatically calculated" sqref="A1" xr:uid="{7FC20D2D-EEE5-4288-9584-180C750E074E}"/>
    <dataValidation allowBlank="1" showInputMessage="1" showErrorMessage="1" prompt="Append company Contact Name, Phone Number, and Email address in this cell" sqref="B18:G18" xr:uid="{8FF13303-BDD6-4EA4-B1D6-6A29D314327E}"/>
    <dataValidation allowBlank="1" showInputMessage="1" showErrorMessage="1" prompt="Enter customised field in this heading and corresponding data in this column under this heading" sqref="D7" xr:uid="{72198F5E-0F66-4C6D-BAF1-8451E8FC748A}"/>
    <dataValidation allowBlank="1" showInputMessage="1" showErrorMessage="1" prompt="Enter 'T' for taxable items in this column under this heading" sqref="F7" xr:uid="{554BCF7D-CCDB-45E3-AE11-B3D757CA40A4}"/>
    <dataValidation allowBlank="1" showInputMessage="1" showErrorMessage="1" prompt="Amount is automatically calculated in this column under this heading and Subtotal is automatically calculated at the end of the table" sqref="G7" xr:uid="{729EB066-C504-4F66-8743-2ED04A47092A}"/>
    <dataValidation allowBlank="1" showInputMessage="1" showErrorMessage="1" prompt="Enter Unit Price in this column under this heading" sqref="E7" xr:uid="{49CD2FE7-4623-4100-B1A4-E608B1DAC8BA}"/>
    <dataValidation allowBlank="1" showInputMessage="1" showErrorMessage="1" prompt="Enter Description in this column under this heading" sqref="C7" xr:uid="{4437129B-FC6D-4577-ACE4-17F5E76187BC}"/>
    <dataValidation allowBlank="1" showInputMessage="1" showErrorMessage="1" prompt="Enter Quantity in this column under this heading" sqref="B7" xr:uid="{28090A73-748E-4AC5-BA15-460A09CC35F5}"/>
    <dataValidation allowBlank="1" showInputMessage="1" showErrorMessage="1" prompt="Enter quotation Terms in this cell" sqref="G5" xr:uid="{4F198729-F7D2-4B19-893E-EE60EE1633D7}"/>
    <dataValidation allowBlank="1" showInputMessage="1" showErrorMessage="1" prompt="Enter Free On Board Point in this cell" sqref="F5" xr:uid="{F5EBF4ED-211D-4858-A6A2-6249ED2391C4}"/>
    <dataValidation allowBlank="1" showInputMessage="1" showErrorMessage="1" prompt="Enter Shipping carrier name in this cell" sqref="E5" xr:uid="{CD10A3D1-609D-4B8E-B561-0AE03313F9C5}"/>
    <dataValidation allowBlank="1" showInputMessage="1" showErrorMessage="1" prompt="Enter Shipping Date in this cell" sqref="D5" xr:uid="{5B736051-0080-4F95-92FA-255FB875BFFA}"/>
    <dataValidation allowBlank="1" showInputMessage="1" showErrorMessage="1" prompt="Enter Purchase Order Number in this cell" sqref="C5" xr:uid="{A2873FCC-FDFA-43F7-B49B-938210E9FE36}"/>
    <dataValidation allowBlank="1" showInputMessage="1" showErrorMessage="1" prompt="Enter Salesperson name in this cell" sqref="B5" xr:uid="{49DFA0EF-AD3C-45A1-BC73-1CE9640A9354}"/>
    <dataValidation allowBlank="1" showInputMessage="1" showErrorMessage="1" prompt="Enter quotation Terms in cell below" sqref="G4" xr:uid="{C921ECC6-AC64-448B-959B-DFB26BE9EA35}"/>
    <dataValidation allowBlank="1" showInputMessage="1" showErrorMessage="1" prompt="Enter Free On Board Point in cell below" sqref="F4" xr:uid="{2FAE9BA7-536C-4EEC-A640-8EEEDD2F96FE}"/>
    <dataValidation allowBlank="1" showInputMessage="1" showErrorMessage="1" prompt="Enter Shipping carrier name in cell below" sqref="E4" xr:uid="{0155F97C-5AEA-4BA3-9EAE-97BD6C64BD74}"/>
    <dataValidation allowBlank="1" showInputMessage="1" showErrorMessage="1" prompt="Enter Shipping Date in cell below" sqref="D4" xr:uid="{66E1A729-B8D0-4DB3-AC52-E01118823757}"/>
    <dataValidation allowBlank="1" showInputMessage="1" showErrorMessage="1" prompt="Enter Purchase Order Number in cell below" sqref="C4" xr:uid="{9F2F2C53-BF4E-46C8-A9E3-1FABAC4DF08F}"/>
    <dataValidation allowBlank="1" showInputMessage="1" showErrorMessage="1" prompt="Enter shipping details in cells B14 through G15, and product details in table starting in cell B17. Enter Salesperson name in cell below" sqref="B4" xr:uid="{94D1646A-73F0-4946-8146-F236208F926A}"/>
    <dataValidation allowBlank="1" showInputMessage="1" showErrorMessage="1" prompt="Enter Comments or Special Instructions in this cell" sqref="D3:G3" xr:uid="{58F9BA4F-24EC-4BCD-BE2A-55AEFDE10297}"/>
    <dataValidation allowBlank="1" showInputMessage="1" showErrorMessage="1" prompt="Enter Comments or Special Instructions in cell at right" sqref="B3:C3" xr:uid="{6B6AE3AE-2CAF-4B6A-980A-6F5928D9D128}"/>
    <dataValidation allowBlank="1" showInputMessage="1" showErrorMessage="1" prompt="Enter customer Phone number in this cell" sqref="B2:E2" xr:uid="{A2F9A42E-3CD1-4E9F-B89A-9464BDDE15AA}"/>
    <dataValidation allowBlank="1" showInputMessage="1" showErrorMessage="1" prompt="Enter Company Name in this cell and slogan in cell below. Quotation title is in cell at right" sqref="B1:E1" xr:uid="{92E4AA91-63E2-4787-B335-DD10CFCAEC18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F7E38D-2A97-40FF-9751-D36760075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14EC40-0141-4891-853E-7A04EF2F22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730C622-0A31-4AAE-BAF9-F2E46AEF4F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TM77799521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Ossie Time</vt:lpstr>
      <vt:lpstr>Estimate sheet</vt:lpstr>
      <vt:lpstr>Timesheet (2)</vt:lpstr>
      <vt:lpstr>Cost sheet</vt:lpstr>
      <vt:lpstr>'Estimate sheet'!RegularHours</vt:lpstr>
      <vt:lpstr>'Timesheet (2)'!RegularHours</vt:lpstr>
      <vt:lpstr>RegularHours</vt:lpstr>
      <vt:lpstr>'Estimate sheet'!TotalHoursWorked</vt:lpstr>
      <vt:lpstr>'Timesheet (2)'!TotalHoursWorked</vt:lpstr>
      <vt:lpstr>TotalHoursWorked</vt:lpstr>
      <vt:lpstr>'Estimate sheet'!WorkWeekHours</vt:lpstr>
      <vt:lpstr>'Timesheet (2)'!WorkWeekHours</vt:lpstr>
      <vt:lpstr>WorkWeekHours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2018-08-24T17:17:01Z</dcterms:created>
  <dcterms:modified xsi:type="dcterms:W3CDTF">2024-05-03T08:17:02Z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  <property fmtid="{D5CDD505-2E9C-101B-9397-08002B2CF9AE}" pid="3" name="MSIP_Label_a4ce78b5-e67d-4988-b984-f3ad3a177f33_Enabled">
    <vt:lpwstr>true</vt:lpwstr>
  </property>
  <property fmtid="{D5CDD505-2E9C-101B-9397-08002B2CF9AE}" pid="4" name="MSIP_Label_a4ce78b5-e67d-4988-b984-f3ad3a177f33_SetDate">
    <vt:lpwstr>2024-05-03T08:17:02Z</vt:lpwstr>
  </property>
  <property fmtid="{D5CDD505-2E9C-101B-9397-08002B2CF9AE}" pid="5" name="MSIP_Label_a4ce78b5-e67d-4988-b984-f3ad3a177f33_Method">
    <vt:lpwstr>Standard</vt:lpwstr>
  </property>
  <property fmtid="{D5CDD505-2E9C-101B-9397-08002B2CF9AE}" pid="6" name="MSIP_Label_a4ce78b5-e67d-4988-b984-f3ad3a177f33_Name">
    <vt:lpwstr>OFFICIAL</vt:lpwstr>
  </property>
  <property fmtid="{D5CDD505-2E9C-101B-9397-08002B2CF9AE}" pid="7" name="MSIP_Label_a4ce78b5-e67d-4988-b984-f3ad3a177f33_SiteId">
    <vt:lpwstr>b0ee2432-273c-49ed-8722-1c7f3f9f7bb6</vt:lpwstr>
  </property>
  <property fmtid="{D5CDD505-2E9C-101B-9397-08002B2CF9AE}" pid="8" name="MSIP_Label_a4ce78b5-e67d-4988-b984-f3ad3a177f33_ActionId">
    <vt:lpwstr>9cfa7e2b-ac33-42e9-aa45-262158445ac2</vt:lpwstr>
  </property>
  <property fmtid="{D5CDD505-2E9C-101B-9397-08002B2CF9AE}" pid="9" name="MSIP_Label_a4ce78b5-e67d-4988-b984-f3ad3a177f33_ContentBits">
    <vt:lpwstr>0</vt:lpwstr>
  </property>
</Properties>
</file>